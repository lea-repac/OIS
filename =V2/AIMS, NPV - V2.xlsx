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rojects\teaching\OIS 2024-2025\priprave\V2\"/>
    </mc:Choice>
  </mc:AlternateContent>
  <xr:revisionPtr revIDLastSave="0" documentId="13_ncr:1_{F8632320-7F43-4E86-9135-91054FFF367D}" xr6:coauthVersionLast="36" xr6:coauthVersionMax="47" xr10:uidLastSave="{00000000-0000-0000-0000-000000000000}"/>
  <bookViews>
    <workbookView xWindow="0" yWindow="0" windowWidth="23040" windowHeight="8772" xr2:uid="{00000000-000D-0000-FFFF-FFFF00000000}"/>
  </bookViews>
  <sheets>
    <sheet name="AIM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3" l="1"/>
  <c r="M31" i="3" s="1"/>
  <c r="N31" i="3" s="1"/>
  <c r="O31" i="3" s="1"/>
  <c r="P31" i="3" s="1"/>
  <c r="Q31" i="3" s="1"/>
  <c r="K31" i="3"/>
  <c r="I33" i="3" l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C19" i="3" l="1"/>
  <c r="D16" i="3"/>
  <c r="E16" i="3"/>
  <c r="F16" i="3"/>
  <c r="G16" i="3"/>
  <c r="H16" i="3"/>
  <c r="I16" i="3"/>
  <c r="J16" i="3"/>
  <c r="J17" i="3" s="1"/>
  <c r="K16" i="3"/>
  <c r="L16" i="3"/>
  <c r="M16" i="3"/>
  <c r="D15" i="3"/>
  <c r="E15" i="3"/>
  <c r="F15" i="3"/>
  <c r="G15" i="3"/>
  <c r="H15" i="3"/>
  <c r="I15" i="3"/>
  <c r="J15" i="3"/>
  <c r="K15" i="3"/>
  <c r="L15" i="3"/>
  <c r="M15" i="3"/>
  <c r="D14" i="3"/>
  <c r="E14" i="3"/>
  <c r="F14" i="3"/>
  <c r="G14" i="3"/>
  <c r="H14" i="3"/>
  <c r="I14" i="3"/>
  <c r="J14" i="3"/>
  <c r="K14" i="3"/>
  <c r="L14" i="3"/>
  <c r="M14" i="3"/>
  <c r="C12" i="3"/>
  <c r="C11" i="3"/>
  <c r="C10" i="3"/>
  <c r="E9" i="3"/>
  <c r="F9" i="3"/>
  <c r="G9" i="3"/>
  <c r="H9" i="3"/>
  <c r="I9" i="3"/>
  <c r="J9" i="3"/>
  <c r="K9" i="3"/>
  <c r="L9" i="3"/>
  <c r="M9" i="3"/>
  <c r="D9" i="3"/>
  <c r="C9" i="3"/>
  <c r="E8" i="3"/>
  <c r="F8" i="3"/>
  <c r="G8" i="3"/>
  <c r="H8" i="3"/>
  <c r="I8" i="3"/>
  <c r="J8" i="3"/>
  <c r="K8" i="3"/>
  <c r="L8" i="3"/>
  <c r="M8" i="3"/>
  <c r="D8" i="3"/>
  <c r="C8" i="3"/>
  <c r="E7" i="3"/>
  <c r="F7" i="3"/>
  <c r="G7" i="3"/>
  <c r="H7" i="3"/>
  <c r="I7" i="3"/>
  <c r="J7" i="3"/>
  <c r="K7" i="3"/>
  <c r="L7" i="3"/>
  <c r="M7" i="3"/>
  <c r="D7" i="3"/>
  <c r="C7" i="3"/>
  <c r="E6" i="3"/>
  <c r="F6" i="3"/>
  <c r="G6" i="3"/>
  <c r="H6" i="3"/>
  <c r="I6" i="3"/>
  <c r="J6" i="3"/>
  <c r="K6" i="3"/>
  <c r="L6" i="3"/>
  <c r="M6" i="3"/>
  <c r="D6" i="3"/>
  <c r="C6" i="3"/>
  <c r="E5" i="3"/>
  <c r="F5" i="3"/>
  <c r="G5" i="3"/>
  <c r="H5" i="3"/>
  <c r="I5" i="3"/>
  <c r="J5" i="3"/>
  <c r="K5" i="3"/>
  <c r="L5" i="3"/>
  <c r="M5" i="3"/>
  <c r="D5" i="3"/>
  <c r="C5" i="3"/>
  <c r="E4" i="3"/>
  <c r="F4" i="3"/>
  <c r="G4" i="3"/>
  <c r="H4" i="3"/>
  <c r="I4" i="3"/>
  <c r="J4" i="3"/>
  <c r="K4" i="3"/>
  <c r="L4" i="3"/>
  <c r="M4" i="3"/>
  <c r="D4" i="3"/>
  <c r="C4" i="3"/>
  <c r="M17" i="3" l="1"/>
  <c r="K17" i="3"/>
  <c r="L17" i="3"/>
  <c r="I17" i="3"/>
  <c r="H17" i="3"/>
  <c r="G17" i="3"/>
  <c r="F17" i="3"/>
  <c r="D17" i="3"/>
  <c r="E17" i="3"/>
  <c r="L12" i="3"/>
  <c r="L19" i="3" s="1"/>
  <c r="J12" i="3"/>
  <c r="J19" i="3" s="1"/>
  <c r="F12" i="3"/>
  <c r="F19" i="3" s="1"/>
  <c r="G12" i="3"/>
  <c r="M12" i="3"/>
  <c r="M19" i="3" s="1"/>
  <c r="K12" i="3"/>
  <c r="K19" i="3" s="1"/>
  <c r="H12" i="3"/>
  <c r="E12" i="3"/>
  <c r="I12" i="3"/>
  <c r="I19" i="3" s="1"/>
  <c r="D12" i="3"/>
  <c r="H19" i="3" l="1"/>
  <c r="G19" i="3"/>
  <c r="D19" i="3"/>
  <c r="E19" i="3"/>
  <c r="C22" i="3"/>
  <c r="C21" i="3"/>
  <c r="F30" i="3" l="1"/>
  <c r="I31" i="3"/>
  <c r="F23" i="3"/>
  <c r="I23" i="3"/>
</calcChain>
</file>

<file path=xl/sharedStrings.xml><?xml version="1.0" encoding="utf-8"?>
<sst xmlns="http://schemas.openxmlformats.org/spreadsheetml/2006/main" count="48" uniqueCount="43">
  <si>
    <t>Revenue</t>
  </si>
  <si>
    <t>Procedures</t>
  </si>
  <si>
    <t>Operating Rooms</t>
  </si>
  <si>
    <t>Benefits</t>
  </si>
  <si>
    <t>Savings in drug costs</t>
  </si>
  <si>
    <t>Drug savings (/case)</t>
  </si>
  <si>
    <t>Increase in reimbursement</t>
  </si>
  <si>
    <t>Other savings</t>
  </si>
  <si>
    <t>Costs</t>
  </si>
  <si>
    <t>Cost per workstation</t>
  </si>
  <si>
    <t>OR software</t>
  </si>
  <si>
    <t>Office work stations</t>
  </si>
  <si>
    <t>Office software</t>
  </si>
  <si>
    <t>Infrastructure</t>
  </si>
  <si>
    <t>Operating room</t>
  </si>
  <si>
    <t>Office</t>
  </si>
  <si>
    <t>Cost of software (/workstation)</t>
  </si>
  <si>
    <t>Cost of Infrastructure</t>
  </si>
  <si>
    <t>NPV</t>
  </si>
  <si>
    <t>Cost of capital</t>
  </si>
  <si>
    <t>Training</t>
  </si>
  <si>
    <t>Total Costs</t>
  </si>
  <si>
    <t>Total Benefits</t>
  </si>
  <si>
    <t>IRR</t>
  </si>
  <si>
    <t>OR workstations</t>
  </si>
  <si>
    <t>PROJECT CASH FLOW</t>
  </si>
  <si>
    <t>VARIABLES &amp; ASSUMPTIONS</t>
  </si>
  <si>
    <t>Financial</t>
  </si>
  <si>
    <t>OR Rev (% of total)</t>
  </si>
  <si>
    <t>Hospital Operations</t>
  </si>
  <si>
    <t>Other savings (/case)</t>
  </si>
  <si>
    <t>Maintenance / year (%)</t>
  </si>
  <si>
    <t>Consulting (% of software)</t>
  </si>
  <si>
    <t>People to be trained</t>
  </si>
  <si>
    <t>Cost of training/person</t>
  </si>
  <si>
    <t>Office Locations</t>
  </si>
  <si>
    <t>Consulting and Integration</t>
  </si>
  <si>
    <t>Server</t>
  </si>
  <si>
    <t>Maintenance cost sensitivity</t>
  </si>
  <si>
    <t>Maintenance cost sensitivty</t>
  </si>
  <si>
    <t xml:space="preserve"> Cost of capital sensitivity</t>
  </si>
  <si>
    <t>Procedures sensitivity</t>
  </si>
  <si>
    <t xml:space="preserve"> Total reveneue per operating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</si>
</sst>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0.0%"/>
    <numFmt numFmtId="168" formatCode="#,##0_);\(#,##0\)"/>
    <numFmt numFmtId="169" formatCode="[$$-409]#,##0;[Red][$$-409]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65" fontId="0" fillId="0" borderId="0" xfId="1" applyFont="1"/>
    <xf numFmtId="166" fontId="0" fillId="0" borderId="0" xfId="1" applyNumberFormat="1" applyFont="1"/>
    <xf numFmtId="9" fontId="0" fillId="0" borderId="0" xfId="2" applyFont="1"/>
    <xf numFmtId="166" fontId="0" fillId="0" borderId="0" xfId="0" applyNumberFormat="1"/>
    <xf numFmtId="167" fontId="0" fillId="0" borderId="0" xfId="2" applyNumberFormat="1" applyFont="1"/>
    <xf numFmtId="0" fontId="0" fillId="0" borderId="0" xfId="0" applyAlignment="1">
      <alignment horizontal="left" indent="1"/>
    </xf>
    <xf numFmtId="10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right"/>
    </xf>
    <xf numFmtId="0" fontId="2" fillId="3" borderId="0" xfId="0" applyFont="1" applyFill="1"/>
    <xf numFmtId="166" fontId="2" fillId="3" borderId="0" xfId="0" applyNumberFormat="1" applyFont="1" applyFill="1"/>
    <xf numFmtId="0" fontId="3" fillId="4" borderId="0" xfId="0" applyFont="1" applyFill="1"/>
    <xf numFmtId="0" fontId="0" fillId="4" borderId="0" xfId="0" applyFill="1"/>
    <xf numFmtId="9" fontId="0" fillId="0" borderId="0" xfId="0" applyNumberFormat="1"/>
    <xf numFmtId="0" fontId="2" fillId="0" borderId="0" xfId="0" applyFont="1"/>
    <xf numFmtId="0" fontId="5" fillId="0" borderId="0" xfId="0" applyFont="1"/>
    <xf numFmtId="166" fontId="2" fillId="4" borderId="0" xfId="0" applyNumberFormat="1" applyFont="1" applyFill="1"/>
    <xf numFmtId="10" fontId="0" fillId="0" borderId="0" xfId="0" applyNumberFormat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0" fillId="0" borderId="1" xfId="0" applyBorder="1" applyAlignment="1">
      <alignment horizontal="center" wrapText="1"/>
    </xf>
    <xf numFmtId="166" fontId="0" fillId="0" borderId="2" xfId="2" applyNumberFormat="1" applyFont="1" applyBorder="1"/>
    <xf numFmtId="9" fontId="0" fillId="0" borderId="3" xfId="2" applyFont="1" applyBorder="1" applyAlignment="1">
      <alignment horizontal="center"/>
    </xf>
    <xf numFmtId="166" fontId="0" fillId="0" borderId="4" xfId="2" applyNumberFormat="1" applyFont="1" applyBorder="1"/>
    <xf numFmtId="9" fontId="0" fillId="0" borderId="5" xfId="2" applyFont="1" applyBorder="1" applyAlignment="1">
      <alignment horizontal="center"/>
    </xf>
    <xf numFmtId="166" fontId="0" fillId="0" borderId="6" xfId="0" applyNumberFormat="1" applyBorder="1"/>
    <xf numFmtId="0" fontId="0" fillId="0" borderId="1" xfId="0" applyBorder="1" applyAlignment="1">
      <alignment vertical="center"/>
    </xf>
    <xf numFmtId="9" fontId="0" fillId="0" borderId="7" xfId="2" applyFont="1" applyBorder="1"/>
    <xf numFmtId="0" fontId="0" fillId="0" borderId="3" xfId="0" applyBorder="1"/>
    <xf numFmtId="166" fontId="0" fillId="0" borderId="0" xfId="0" applyNumberFormat="1" applyBorder="1"/>
    <xf numFmtId="9" fontId="0" fillId="0" borderId="0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166" fontId="0" fillId="0" borderId="4" xfId="0" applyNumberFormat="1" applyBorder="1"/>
    <xf numFmtId="9" fontId="0" fillId="0" borderId="8" xfId="2" applyFont="1" applyBorder="1" applyAlignment="1">
      <alignment horizontal="center"/>
    </xf>
    <xf numFmtId="166" fontId="0" fillId="0" borderId="8" xfId="0" applyNumberFormat="1" applyBorder="1"/>
    <xf numFmtId="168" fontId="0" fillId="0" borderId="0" xfId="1" applyNumberFormat="1" applyFont="1" applyBorder="1"/>
    <xf numFmtId="168" fontId="0" fillId="0" borderId="8" xfId="1" applyNumberFormat="1" applyFont="1" applyBorder="1"/>
    <xf numFmtId="169" fontId="0" fillId="0" borderId="0" xfId="0" applyNumberFormat="1" applyBorder="1"/>
    <xf numFmtId="169" fontId="0" fillId="0" borderId="4" xfId="0" applyNumberFormat="1" applyBorder="1"/>
    <xf numFmtId="169" fontId="0" fillId="0" borderId="8" xfId="0" applyNumberFormat="1" applyBorder="1"/>
    <xf numFmtId="169" fontId="0" fillId="0" borderId="6" xfId="0" applyNumberFormat="1" applyBorder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/>
    <xf numFmtId="0" fontId="0" fillId="0" borderId="2" xfId="0" applyBorder="1" applyAlignment="1"/>
  </cellXfs>
  <cellStyles count="3">
    <cellStyle name="Navadno" xfId="0" builtinId="0"/>
    <cellStyle name="Odstotek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25" zoomScale="70" zoomScaleNormal="70" workbookViewId="0">
      <selection activeCell="P35" sqref="P35"/>
    </sheetView>
  </sheetViews>
  <sheetFormatPr defaultColWidth="8.77734375" defaultRowHeight="14.4" x14ac:dyDescent="0.3"/>
  <cols>
    <col min="1" max="1" width="0.44140625" customWidth="1"/>
    <col min="2" max="2" width="26" customWidth="1"/>
    <col min="3" max="5" width="13.33203125" customWidth="1"/>
    <col min="6" max="6" width="15" customWidth="1"/>
    <col min="7" max="13" width="13.33203125" customWidth="1"/>
    <col min="14" max="14" width="12.88671875" customWidth="1"/>
    <col min="15" max="15" width="29.44140625" customWidth="1"/>
    <col min="16" max="16" width="14" customWidth="1"/>
    <col min="17" max="17" width="10.77734375" customWidth="1"/>
  </cols>
  <sheetData>
    <row r="1" spans="1:16" x14ac:dyDescent="0.3">
      <c r="N1" s="20" t="s">
        <v>26</v>
      </c>
    </row>
    <row r="2" spans="1:16" x14ac:dyDescent="0.3">
      <c r="C2" s="8">
        <v>0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21" t="s">
        <v>27</v>
      </c>
    </row>
    <row r="3" spans="1:16" ht="18" x14ac:dyDescent="0.35">
      <c r="A3" s="10" t="s">
        <v>8</v>
      </c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O3" t="s">
        <v>19</v>
      </c>
      <c r="P3" s="7">
        <v>7.0000000000000007E-2</v>
      </c>
    </row>
    <row r="4" spans="1:16" x14ac:dyDescent="0.3">
      <c r="B4" t="s">
        <v>24</v>
      </c>
      <c r="C4" s="4">
        <f>-$P$9*$P$18</f>
        <v>-112000</v>
      </c>
      <c r="D4" s="4">
        <f>$C$4*$P$22</f>
        <v>-20160</v>
      </c>
      <c r="E4" s="4">
        <f t="shared" ref="E4:M4" si="0">$C$4*$P$22</f>
        <v>-20160</v>
      </c>
      <c r="F4" s="4">
        <f t="shared" si="0"/>
        <v>-20160</v>
      </c>
      <c r="G4" s="4">
        <f t="shared" si="0"/>
        <v>-20160</v>
      </c>
      <c r="H4" s="4">
        <f t="shared" si="0"/>
        <v>-20160</v>
      </c>
      <c r="I4" s="4">
        <f t="shared" si="0"/>
        <v>-20160</v>
      </c>
      <c r="J4" s="4">
        <f t="shared" si="0"/>
        <v>-20160</v>
      </c>
      <c r="K4" s="4">
        <f t="shared" si="0"/>
        <v>-20160</v>
      </c>
      <c r="L4" s="4">
        <f t="shared" si="0"/>
        <v>-20160</v>
      </c>
      <c r="M4" s="4">
        <f t="shared" si="0"/>
        <v>-20160</v>
      </c>
      <c r="P4" s="7"/>
    </row>
    <row r="5" spans="1:16" x14ac:dyDescent="0.3">
      <c r="B5" t="s">
        <v>10</v>
      </c>
      <c r="C5" s="4">
        <f>-$P$9*$P$20</f>
        <v>-140000</v>
      </c>
      <c r="D5" s="4">
        <f>$C$5*$P$22</f>
        <v>-25200</v>
      </c>
      <c r="E5" s="4">
        <f t="shared" ref="E5:M5" si="1">$C$5*$P$22</f>
        <v>-25200</v>
      </c>
      <c r="F5" s="4">
        <f t="shared" si="1"/>
        <v>-25200</v>
      </c>
      <c r="G5" s="4">
        <f t="shared" si="1"/>
        <v>-25200</v>
      </c>
      <c r="H5" s="4">
        <f t="shared" si="1"/>
        <v>-25200</v>
      </c>
      <c r="I5" s="4">
        <f t="shared" si="1"/>
        <v>-25200</v>
      </c>
      <c r="J5" s="4">
        <f t="shared" si="1"/>
        <v>-25200</v>
      </c>
      <c r="K5" s="4">
        <f t="shared" si="1"/>
        <v>-25200</v>
      </c>
      <c r="L5" s="4">
        <f t="shared" si="1"/>
        <v>-25200</v>
      </c>
      <c r="M5" s="4">
        <f t="shared" si="1"/>
        <v>-25200</v>
      </c>
      <c r="N5" s="21" t="s">
        <v>29</v>
      </c>
    </row>
    <row r="6" spans="1:16" x14ac:dyDescent="0.3">
      <c r="B6" t="s">
        <v>11</v>
      </c>
      <c r="C6" s="4">
        <f>-$P$10*$P$19</f>
        <v>-15000</v>
      </c>
      <c r="D6" s="4">
        <f>$C$6*$P$22</f>
        <v>-2700</v>
      </c>
      <c r="E6" s="4">
        <f t="shared" ref="E6:M6" si="2">$C$6*$P$22</f>
        <v>-2700</v>
      </c>
      <c r="F6" s="4">
        <f t="shared" si="2"/>
        <v>-2700</v>
      </c>
      <c r="G6" s="4">
        <f t="shared" si="2"/>
        <v>-2700</v>
      </c>
      <c r="H6" s="4">
        <f t="shared" si="2"/>
        <v>-2700</v>
      </c>
      <c r="I6" s="4">
        <f t="shared" si="2"/>
        <v>-2700</v>
      </c>
      <c r="J6" s="4">
        <f t="shared" si="2"/>
        <v>-2700</v>
      </c>
      <c r="K6" s="4">
        <f t="shared" si="2"/>
        <v>-2700</v>
      </c>
      <c r="L6" s="4">
        <f t="shared" si="2"/>
        <v>-2700</v>
      </c>
      <c r="M6" s="4">
        <f t="shared" si="2"/>
        <v>-2700</v>
      </c>
      <c r="O6" t="s">
        <v>0</v>
      </c>
      <c r="P6" s="2">
        <v>71901048</v>
      </c>
    </row>
    <row r="7" spans="1:16" x14ac:dyDescent="0.3">
      <c r="B7" t="s">
        <v>12</v>
      </c>
      <c r="C7" s="4">
        <f>-$P$10*$P$20</f>
        <v>-30000</v>
      </c>
      <c r="D7" s="4">
        <f>$C$7*$P$22</f>
        <v>-5400</v>
      </c>
      <c r="E7" s="4">
        <f t="shared" ref="E7:M7" si="3">$C$7*$P$22</f>
        <v>-5400</v>
      </c>
      <c r="F7" s="4">
        <f t="shared" si="3"/>
        <v>-5400</v>
      </c>
      <c r="G7" s="4">
        <f t="shared" si="3"/>
        <v>-5400</v>
      </c>
      <c r="H7" s="4">
        <f t="shared" si="3"/>
        <v>-5400</v>
      </c>
      <c r="I7" s="4">
        <f t="shared" si="3"/>
        <v>-5400</v>
      </c>
      <c r="J7" s="4">
        <f t="shared" si="3"/>
        <v>-5400</v>
      </c>
      <c r="K7" s="4">
        <f t="shared" si="3"/>
        <v>-5400</v>
      </c>
      <c r="L7" s="4">
        <f t="shared" si="3"/>
        <v>-5400</v>
      </c>
      <c r="M7" s="4">
        <f t="shared" si="3"/>
        <v>-5400</v>
      </c>
      <c r="O7" t="s">
        <v>28</v>
      </c>
      <c r="P7" s="5">
        <v>0.4</v>
      </c>
    </row>
    <row r="8" spans="1:16" x14ac:dyDescent="0.3">
      <c r="B8" t="s">
        <v>13</v>
      </c>
      <c r="C8" s="4">
        <f>-$P$21</f>
        <v>-15000</v>
      </c>
      <c r="D8" s="4">
        <f>$C$8*$P$22</f>
        <v>-2700</v>
      </c>
      <c r="E8" s="4">
        <f t="shared" ref="E8:M8" si="4">$C$8*$P$22</f>
        <v>-2700</v>
      </c>
      <c r="F8" s="4">
        <f t="shared" si="4"/>
        <v>-2700</v>
      </c>
      <c r="G8" s="4">
        <f t="shared" si="4"/>
        <v>-2700</v>
      </c>
      <c r="H8" s="4">
        <f t="shared" si="4"/>
        <v>-2700</v>
      </c>
      <c r="I8" s="4">
        <f t="shared" si="4"/>
        <v>-2700</v>
      </c>
      <c r="J8" s="4">
        <f t="shared" si="4"/>
        <v>-2700</v>
      </c>
      <c r="K8" s="4">
        <f t="shared" si="4"/>
        <v>-2700</v>
      </c>
      <c r="L8" s="4">
        <f t="shared" si="4"/>
        <v>-2700</v>
      </c>
      <c r="M8" s="4">
        <f t="shared" si="4"/>
        <v>-2700</v>
      </c>
      <c r="O8" t="s">
        <v>1</v>
      </c>
      <c r="P8">
        <v>9200</v>
      </c>
    </row>
    <row r="9" spans="1:16" x14ac:dyDescent="0.3">
      <c r="B9" t="s">
        <v>37</v>
      </c>
      <c r="C9" s="4">
        <f>-$P$25</f>
        <v>-32000</v>
      </c>
      <c r="D9" s="4">
        <f>$C$9*$P$22</f>
        <v>-5760</v>
      </c>
      <c r="E9" s="4">
        <f t="shared" ref="E9:M9" si="5">$C$9*$P$22</f>
        <v>-5760</v>
      </c>
      <c r="F9" s="4">
        <f t="shared" si="5"/>
        <v>-5760</v>
      </c>
      <c r="G9" s="4">
        <f t="shared" si="5"/>
        <v>-5760</v>
      </c>
      <c r="H9" s="4">
        <f t="shared" si="5"/>
        <v>-5760</v>
      </c>
      <c r="I9" s="4">
        <f t="shared" si="5"/>
        <v>-5760</v>
      </c>
      <c r="J9" s="4">
        <f t="shared" si="5"/>
        <v>-5760</v>
      </c>
      <c r="K9" s="4">
        <f t="shared" si="5"/>
        <v>-5760</v>
      </c>
      <c r="L9" s="4">
        <f t="shared" si="5"/>
        <v>-5760</v>
      </c>
      <c r="M9" s="4">
        <f t="shared" si="5"/>
        <v>-5760</v>
      </c>
      <c r="O9" t="s">
        <v>2</v>
      </c>
      <c r="P9">
        <v>14</v>
      </c>
    </row>
    <row r="10" spans="1:16" x14ac:dyDescent="0.3">
      <c r="B10" t="s">
        <v>36</v>
      </c>
      <c r="C10" s="4">
        <f>(C5+C7)*$P$23</f>
        <v>-340000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O10" t="s">
        <v>35</v>
      </c>
      <c r="P10">
        <v>3</v>
      </c>
    </row>
    <row r="11" spans="1:16" x14ac:dyDescent="0.3">
      <c r="B11" t="s">
        <v>20</v>
      </c>
      <c r="C11" s="4">
        <f>-$P$11*$P$24</f>
        <v>-100000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O11" t="s">
        <v>33</v>
      </c>
      <c r="P11">
        <v>100</v>
      </c>
    </row>
    <row r="12" spans="1:16" ht="15.6" x14ac:dyDescent="0.3">
      <c r="A12" s="13"/>
      <c r="B12" s="14" t="s">
        <v>21</v>
      </c>
      <c r="C12" s="16">
        <f>SUM(C4:C11)</f>
        <v>-784000</v>
      </c>
      <c r="D12" s="16">
        <f t="shared" ref="D12:M12" si="6">SUM(D4:D11)</f>
        <v>-61920</v>
      </c>
      <c r="E12" s="16">
        <f t="shared" si="6"/>
        <v>-61920</v>
      </c>
      <c r="F12" s="16">
        <f t="shared" si="6"/>
        <v>-61920</v>
      </c>
      <c r="G12" s="16">
        <f t="shared" si="6"/>
        <v>-61920</v>
      </c>
      <c r="H12" s="16">
        <f t="shared" si="6"/>
        <v>-61920</v>
      </c>
      <c r="I12" s="16">
        <f t="shared" si="6"/>
        <v>-61920</v>
      </c>
      <c r="J12" s="16">
        <f t="shared" si="6"/>
        <v>-61920</v>
      </c>
      <c r="K12" s="16">
        <f t="shared" si="6"/>
        <v>-61920</v>
      </c>
      <c r="L12" s="16">
        <f t="shared" si="6"/>
        <v>-61920</v>
      </c>
      <c r="M12" s="16">
        <f t="shared" si="6"/>
        <v>-61920</v>
      </c>
      <c r="N12" s="21" t="s">
        <v>3</v>
      </c>
    </row>
    <row r="13" spans="1:16" ht="18" x14ac:dyDescent="0.35">
      <c r="A13" s="10" t="s">
        <v>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O13" t="s">
        <v>5</v>
      </c>
      <c r="P13" s="1">
        <v>32</v>
      </c>
    </row>
    <row r="14" spans="1:16" x14ac:dyDescent="0.3">
      <c r="B14" t="s">
        <v>4</v>
      </c>
      <c r="C14" s="4"/>
      <c r="D14" s="4">
        <f t="shared" ref="D14:M14" si="7">$P$8*$P$13</f>
        <v>294400</v>
      </c>
      <c r="E14" s="4">
        <f t="shared" si="7"/>
        <v>294400</v>
      </c>
      <c r="F14" s="4">
        <f t="shared" si="7"/>
        <v>294400</v>
      </c>
      <c r="G14" s="4">
        <f t="shared" si="7"/>
        <v>294400</v>
      </c>
      <c r="H14" s="4">
        <f t="shared" si="7"/>
        <v>294400</v>
      </c>
      <c r="I14" s="4">
        <f t="shared" si="7"/>
        <v>294400</v>
      </c>
      <c r="J14" s="4">
        <f t="shared" si="7"/>
        <v>294400</v>
      </c>
      <c r="K14" s="4">
        <f t="shared" si="7"/>
        <v>294400</v>
      </c>
      <c r="L14" s="4">
        <f t="shared" si="7"/>
        <v>294400</v>
      </c>
      <c r="M14" s="4">
        <f t="shared" si="7"/>
        <v>294400</v>
      </c>
      <c r="O14" t="s">
        <v>30</v>
      </c>
      <c r="P14" s="1">
        <v>100</v>
      </c>
    </row>
    <row r="15" spans="1:16" x14ac:dyDescent="0.3">
      <c r="B15" t="s">
        <v>7</v>
      </c>
      <c r="C15" s="4"/>
      <c r="D15" s="4">
        <f t="shared" ref="D15:M15" si="8">$P$8*$P$14</f>
        <v>920000</v>
      </c>
      <c r="E15" s="4">
        <f t="shared" si="8"/>
        <v>920000</v>
      </c>
      <c r="F15" s="4">
        <f t="shared" si="8"/>
        <v>920000</v>
      </c>
      <c r="G15" s="4">
        <f t="shared" si="8"/>
        <v>920000</v>
      </c>
      <c r="H15" s="4">
        <f t="shared" si="8"/>
        <v>920000</v>
      </c>
      <c r="I15" s="4">
        <f t="shared" si="8"/>
        <v>920000</v>
      </c>
      <c r="J15" s="4">
        <f t="shared" si="8"/>
        <v>920000</v>
      </c>
      <c r="K15" s="4">
        <f t="shared" si="8"/>
        <v>920000</v>
      </c>
      <c r="L15" s="4">
        <f t="shared" si="8"/>
        <v>920000</v>
      </c>
      <c r="M15" s="4">
        <f t="shared" si="8"/>
        <v>920000</v>
      </c>
      <c r="O15" t="s">
        <v>6</v>
      </c>
      <c r="P15" s="5">
        <v>1.4999999999999999E-2</v>
      </c>
    </row>
    <row r="16" spans="1:16" x14ac:dyDescent="0.3">
      <c r="B16" t="s">
        <v>6</v>
      </c>
      <c r="C16" s="4"/>
      <c r="D16" s="4">
        <f t="shared" ref="D16:M16" si="9">$P$6*$P$7*$P$15</f>
        <v>431406.288</v>
      </c>
      <c r="E16" s="4">
        <f t="shared" si="9"/>
        <v>431406.288</v>
      </c>
      <c r="F16" s="4">
        <f t="shared" si="9"/>
        <v>431406.288</v>
      </c>
      <c r="G16" s="4">
        <f t="shared" si="9"/>
        <v>431406.288</v>
      </c>
      <c r="H16" s="4">
        <f t="shared" si="9"/>
        <v>431406.288</v>
      </c>
      <c r="I16" s="4">
        <f t="shared" si="9"/>
        <v>431406.288</v>
      </c>
      <c r="J16" s="4">
        <f t="shared" si="9"/>
        <v>431406.288</v>
      </c>
      <c r="K16" s="4">
        <f t="shared" si="9"/>
        <v>431406.288</v>
      </c>
      <c r="L16" s="4">
        <f t="shared" si="9"/>
        <v>431406.288</v>
      </c>
      <c r="M16" s="4">
        <f t="shared" si="9"/>
        <v>431406.288</v>
      </c>
      <c r="N16" s="21" t="s">
        <v>8</v>
      </c>
    </row>
    <row r="17" spans="1:17" ht="15.6" x14ac:dyDescent="0.3">
      <c r="A17" s="15"/>
      <c r="B17" s="14" t="s">
        <v>22</v>
      </c>
      <c r="C17" s="16"/>
      <c r="D17" s="16">
        <f t="shared" ref="D17:M17" si="10">SUM(D14:D16)</f>
        <v>1645806.2879999999</v>
      </c>
      <c r="E17" s="16">
        <f t="shared" si="10"/>
        <v>1645806.2879999999</v>
      </c>
      <c r="F17" s="16">
        <f t="shared" si="10"/>
        <v>1645806.2879999999</v>
      </c>
      <c r="G17" s="16">
        <f t="shared" si="10"/>
        <v>1645806.2879999999</v>
      </c>
      <c r="H17" s="16">
        <f t="shared" si="10"/>
        <v>1645806.2879999999</v>
      </c>
      <c r="I17" s="16">
        <f t="shared" si="10"/>
        <v>1645806.2879999999</v>
      </c>
      <c r="J17" s="16">
        <f t="shared" si="10"/>
        <v>1645806.2879999999</v>
      </c>
      <c r="K17" s="16">
        <f t="shared" si="10"/>
        <v>1645806.2879999999</v>
      </c>
      <c r="L17" s="16">
        <f t="shared" si="10"/>
        <v>1645806.2879999999</v>
      </c>
      <c r="M17" s="16">
        <f t="shared" si="10"/>
        <v>1645806.2879999999</v>
      </c>
      <c r="O17" t="s">
        <v>9</v>
      </c>
      <c r="P17" s="2"/>
      <c r="Q17" s="3"/>
    </row>
    <row r="18" spans="1:17" x14ac:dyDescent="0.3">
      <c r="O18" s="6" t="s">
        <v>14</v>
      </c>
      <c r="P18" s="2">
        <v>8000</v>
      </c>
      <c r="Q18" s="4"/>
    </row>
    <row r="19" spans="1:17" ht="18" x14ac:dyDescent="0.35">
      <c r="A19" s="17" t="s">
        <v>25</v>
      </c>
      <c r="B19" s="18"/>
      <c r="C19" s="22">
        <f>C12</f>
        <v>-784000</v>
      </c>
      <c r="D19" s="22">
        <f>D12+D17</f>
        <v>1583886.2879999999</v>
      </c>
      <c r="E19" s="22">
        <f t="shared" ref="E19:M19" si="11">E12+E17</f>
        <v>1583886.2879999999</v>
      </c>
      <c r="F19" s="22">
        <f t="shared" si="11"/>
        <v>1583886.2879999999</v>
      </c>
      <c r="G19" s="22">
        <f t="shared" si="11"/>
        <v>1583886.2879999999</v>
      </c>
      <c r="H19" s="22">
        <f t="shared" si="11"/>
        <v>1583886.2879999999</v>
      </c>
      <c r="I19" s="22">
        <f t="shared" si="11"/>
        <v>1583886.2879999999</v>
      </c>
      <c r="J19" s="22">
        <f t="shared" si="11"/>
        <v>1583886.2879999999</v>
      </c>
      <c r="K19" s="22">
        <f t="shared" si="11"/>
        <v>1583886.2879999999</v>
      </c>
      <c r="L19" s="22">
        <f t="shared" si="11"/>
        <v>1583886.2879999999</v>
      </c>
      <c r="M19" s="22">
        <f t="shared" si="11"/>
        <v>1583886.2879999999</v>
      </c>
      <c r="O19" s="6" t="s">
        <v>15</v>
      </c>
      <c r="P19" s="2">
        <v>5000</v>
      </c>
    </row>
    <row r="20" spans="1:17" x14ac:dyDescent="0.3">
      <c r="C20" s="4"/>
      <c r="O20" t="s">
        <v>16</v>
      </c>
      <c r="P20" s="2">
        <v>10000</v>
      </c>
    </row>
    <row r="21" spans="1:17" x14ac:dyDescent="0.3">
      <c r="B21" s="9" t="s">
        <v>18</v>
      </c>
      <c r="C21" s="4">
        <f>C12 + NPV(P3,D19:M19)</f>
        <v>10340554.495333057</v>
      </c>
      <c r="E21" s="27"/>
      <c r="F21" s="28"/>
      <c r="G21" s="4"/>
      <c r="I21" s="4"/>
      <c r="O21" t="s">
        <v>17</v>
      </c>
      <c r="P21" s="2">
        <v>15000</v>
      </c>
    </row>
    <row r="22" spans="1:17" ht="15" customHeight="1" x14ac:dyDescent="0.3">
      <c r="B22" s="9" t="s">
        <v>23</v>
      </c>
      <c r="C22" s="19">
        <f>IRR(C19:M19)</f>
        <v>2.0202311330459146</v>
      </c>
      <c r="G22" s="4"/>
      <c r="H22" s="35"/>
      <c r="I22" s="36"/>
      <c r="J22" s="52" t="s">
        <v>40</v>
      </c>
      <c r="K22" s="52"/>
      <c r="L22" s="52"/>
      <c r="M22" s="53"/>
      <c r="O22" t="s">
        <v>31</v>
      </c>
      <c r="P22" s="3">
        <v>0.18</v>
      </c>
    </row>
    <row r="23" spans="1:17" ht="28.8" x14ac:dyDescent="0.3">
      <c r="E23" s="29" t="s">
        <v>38</v>
      </c>
      <c r="F23" s="30">
        <f>C21</f>
        <v>10340554.495333057</v>
      </c>
      <c r="G23" s="4"/>
      <c r="H23" s="37"/>
      <c r="I23" s="38">
        <f>C21</f>
        <v>10340554.495333057</v>
      </c>
      <c r="J23" s="39">
        <v>7.0000000000000007E-2</v>
      </c>
      <c r="K23" s="39">
        <v>0.1</v>
      </c>
      <c r="L23" s="39">
        <v>0.12</v>
      </c>
      <c r="M23" s="40">
        <v>0.15</v>
      </c>
      <c r="O23" t="s">
        <v>32</v>
      </c>
      <c r="P23" s="3">
        <v>2</v>
      </c>
    </row>
    <row r="24" spans="1:17" ht="31.95" customHeight="1" x14ac:dyDescent="0.3">
      <c r="D24" s="4"/>
      <c r="E24" s="31">
        <v>0.15</v>
      </c>
      <c r="F24" s="32">
        <f t="dataTable" ref="F24:F28" dt2D="0" dtr="0" r1="P22"/>
        <v>10413037.856835479</v>
      </c>
      <c r="G24" s="4"/>
      <c r="H24" s="50" t="s">
        <v>39</v>
      </c>
      <c r="I24" s="39">
        <v>0.15</v>
      </c>
      <c r="J24" s="38">
        <f t="dataTable" ref="J24:M28" dt2D="1" dtr="1" r1="P3" r2="P22" ca="1"/>
        <v>10413037.856835479</v>
      </c>
      <c r="K24" s="38">
        <v>9011707.5169523619</v>
      </c>
      <c r="L24" s="38">
        <v>8223621.0804949999</v>
      </c>
      <c r="M24" s="41">
        <v>7216952.5013539335</v>
      </c>
      <c r="O24" t="s">
        <v>34</v>
      </c>
      <c r="P24" s="2">
        <v>1000</v>
      </c>
    </row>
    <row r="25" spans="1:17" x14ac:dyDescent="0.3">
      <c r="C25" s="23"/>
      <c r="D25" s="25"/>
      <c r="E25" s="31">
        <v>0.18</v>
      </c>
      <c r="F25" s="32">
        <v>10340554.495333057</v>
      </c>
      <c r="G25" s="4"/>
      <c r="H25" s="50"/>
      <c r="I25" s="39">
        <v>0.18</v>
      </c>
      <c r="J25" s="38">
        <v>10340554.495333057</v>
      </c>
      <c r="K25" s="38">
        <v>8948295.5844214875</v>
      </c>
      <c r="L25" s="38">
        <v>8165310.7788417991</v>
      </c>
      <c r="M25" s="41">
        <v>7165158.8091351176</v>
      </c>
      <c r="O25" t="s">
        <v>37</v>
      </c>
      <c r="P25" s="24">
        <v>32000</v>
      </c>
    </row>
    <row r="26" spans="1:17" x14ac:dyDescent="0.3">
      <c r="C26" s="23"/>
      <c r="D26" s="25"/>
      <c r="E26" s="31">
        <v>0.2</v>
      </c>
      <c r="F26" s="32">
        <v>10292232.254331438</v>
      </c>
      <c r="G26" s="4"/>
      <c r="H26" s="50"/>
      <c r="I26" s="39">
        <v>0.2</v>
      </c>
      <c r="J26" s="38">
        <v>10292232.254331438</v>
      </c>
      <c r="K26" s="38">
        <v>8906020.962734241</v>
      </c>
      <c r="L26" s="38">
        <v>8126437.2444063332</v>
      </c>
      <c r="M26" s="41">
        <v>7130629.6809892394</v>
      </c>
    </row>
    <row r="27" spans="1:17" x14ac:dyDescent="0.3">
      <c r="C27" s="23"/>
      <c r="D27" s="25"/>
      <c r="E27" s="31">
        <v>0.25</v>
      </c>
      <c r="F27" s="32">
        <v>10171426.651827399</v>
      </c>
      <c r="G27" s="25"/>
      <c r="H27" s="50"/>
      <c r="I27" s="39">
        <v>0.25</v>
      </c>
      <c r="J27" s="38">
        <v>10171426.651827399</v>
      </c>
      <c r="K27" s="38">
        <v>8800334.4085161202</v>
      </c>
      <c r="L27" s="38">
        <v>8029253.4083176646</v>
      </c>
      <c r="M27" s="41">
        <v>7044306.8606245471</v>
      </c>
    </row>
    <row r="28" spans="1:17" x14ac:dyDescent="0.3">
      <c r="C28" s="23"/>
      <c r="D28" s="25"/>
      <c r="E28" s="33">
        <v>0.3</v>
      </c>
      <c r="F28" s="34">
        <v>10050621.049323358</v>
      </c>
      <c r="G28" s="25"/>
      <c r="H28" s="51"/>
      <c r="I28" s="42">
        <v>0.3</v>
      </c>
      <c r="J28" s="43">
        <v>10050621.049323358</v>
      </c>
      <c r="K28" s="43">
        <v>8694647.8542979993</v>
      </c>
      <c r="L28" s="43">
        <v>7932069.5722289998</v>
      </c>
      <c r="M28" s="34">
        <v>6957984.0402598558</v>
      </c>
    </row>
    <row r="29" spans="1:17" x14ac:dyDescent="0.3">
      <c r="C29" s="23"/>
      <c r="D29" s="25"/>
      <c r="E29" s="4"/>
      <c r="F29" s="23"/>
      <c r="G29" s="25"/>
      <c r="H29" s="4"/>
      <c r="I29" s="4"/>
      <c r="J29" s="4"/>
      <c r="K29" s="4"/>
      <c r="L29" s="4"/>
      <c r="M29" s="4"/>
    </row>
    <row r="30" spans="1:17" ht="28.8" x14ac:dyDescent="0.3">
      <c r="C30" s="23"/>
      <c r="D30" s="25"/>
      <c r="E30" s="29" t="s">
        <v>38</v>
      </c>
      <c r="F30" s="30">
        <f>C21</f>
        <v>10340554.495333057</v>
      </c>
      <c r="G30" s="25"/>
      <c r="H30" s="35"/>
      <c r="I30" s="36"/>
      <c r="J30" s="52" t="s">
        <v>42</v>
      </c>
      <c r="K30" s="52"/>
      <c r="L30" s="52"/>
      <c r="M30" s="52"/>
      <c r="N30" s="57"/>
      <c r="O30" s="57"/>
      <c r="P30" s="57"/>
      <c r="Q30" s="58"/>
    </row>
    <row r="31" spans="1:17" x14ac:dyDescent="0.3">
      <c r="E31" s="31">
        <v>0.3</v>
      </c>
      <c r="F31" s="41"/>
      <c r="G31" s="23"/>
      <c r="H31" s="37"/>
      <c r="I31" s="38">
        <f>$C$21</f>
        <v>10340554.495333057</v>
      </c>
      <c r="J31" s="39">
        <v>0.4</v>
      </c>
      <c r="K31" s="39">
        <f>J31/150%</f>
        <v>0.26666666666666666</v>
      </c>
      <c r="L31" s="39">
        <f t="shared" ref="L31:Q31" si="12">K31/150%</f>
        <v>0.17777777777777778</v>
      </c>
      <c r="M31" s="39">
        <f t="shared" si="12"/>
        <v>0.11851851851851852</v>
      </c>
      <c r="N31" s="39">
        <f t="shared" si="12"/>
        <v>7.9012345679012344E-2</v>
      </c>
      <c r="O31" s="39">
        <f t="shared" si="12"/>
        <v>5.2674897119341563E-2</v>
      </c>
      <c r="P31" s="39">
        <f t="shared" si="12"/>
        <v>3.5116598079561044E-2</v>
      </c>
      <c r="Q31" s="40">
        <f t="shared" si="12"/>
        <v>2.3411065386374028E-2</v>
      </c>
    </row>
    <row r="32" spans="1:17" x14ac:dyDescent="0.3">
      <c r="C32" s="4"/>
      <c r="E32" s="31">
        <v>0.31</v>
      </c>
      <c r="F32" s="41"/>
      <c r="H32" s="54" t="s">
        <v>41</v>
      </c>
      <c r="I32" s="44">
        <v>9200</v>
      </c>
      <c r="J32" s="46"/>
      <c r="K32" s="46"/>
      <c r="L32" s="46"/>
      <c r="M32" s="46"/>
      <c r="N32" s="46"/>
      <c r="O32" s="46"/>
      <c r="P32" s="46"/>
      <c r="Q32" s="47"/>
    </row>
    <row r="33" spans="3:17" x14ac:dyDescent="0.3">
      <c r="C33" s="4"/>
      <c r="E33" s="31">
        <v>0.32</v>
      </c>
      <c r="F33" s="41"/>
      <c r="H33" s="54"/>
      <c r="I33" s="44">
        <f xml:space="preserve"> I32/120%</f>
        <v>7666.666666666667</v>
      </c>
      <c r="J33" s="46"/>
      <c r="K33" s="46"/>
      <c r="L33" s="46"/>
      <c r="M33" s="46"/>
      <c r="N33" s="46"/>
      <c r="O33" s="46"/>
      <c r="P33" s="46"/>
      <c r="Q33" s="47"/>
    </row>
    <row r="34" spans="3:17" x14ac:dyDescent="0.3">
      <c r="D34" s="26"/>
      <c r="E34" s="31">
        <v>0.33</v>
      </c>
      <c r="F34" s="41"/>
      <c r="G34" s="26"/>
      <c r="H34" s="54"/>
      <c r="I34" s="44">
        <f t="shared" ref="I34:I51" si="13" xml:space="preserve"> I33/120%</f>
        <v>6388.8888888888896</v>
      </c>
      <c r="J34" s="46"/>
      <c r="K34" s="46"/>
      <c r="L34" s="46"/>
      <c r="M34" s="46"/>
      <c r="N34" s="46"/>
      <c r="O34" s="46"/>
      <c r="P34" s="46"/>
      <c r="Q34" s="47"/>
    </row>
    <row r="35" spans="3:17" x14ac:dyDescent="0.3">
      <c r="D35" s="26"/>
      <c r="E35" s="31">
        <v>0.34</v>
      </c>
      <c r="F35" s="41"/>
      <c r="G35" s="26"/>
      <c r="H35" s="54"/>
      <c r="I35" s="44">
        <f t="shared" si="13"/>
        <v>5324.0740740740748</v>
      </c>
      <c r="J35" s="46"/>
      <c r="K35" s="46"/>
      <c r="L35" s="46"/>
      <c r="M35" s="46"/>
      <c r="N35" s="46"/>
      <c r="O35" s="46"/>
      <c r="P35" s="46"/>
      <c r="Q35" s="47"/>
    </row>
    <row r="36" spans="3:17" x14ac:dyDescent="0.3">
      <c r="D36" s="26"/>
      <c r="E36" s="31">
        <v>0.35</v>
      </c>
      <c r="F36" s="41"/>
      <c r="G36" s="26"/>
      <c r="H36" s="54"/>
      <c r="I36" s="44">
        <f t="shared" si="13"/>
        <v>4436.7283950617293</v>
      </c>
      <c r="J36" s="46"/>
      <c r="K36" s="46"/>
      <c r="L36" s="46"/>
      <c r="M36" s="46"/>
      <c r="N36" s="46"/>
      <c r="O36" s="46"/>
      <c r="P36" s="46"/>
      <c r="Q36" s="47"/>
    </row>
    <row r="37" spans="3:17" x14ac:dyDescent="0.3">
      <c r="D37" s="26"/>
      <c r="E37" s="31">
        <v>0.36</v>
      </c>
      <c r="F37" s="41"/>
      <c r="G37" s="26"/>
      <c r="H37" s="55"/>
      <c r="I37" s="44">
        <f t="shared" si="13"/>
        <v>3697.2736625514412</v>
      </c>
      <c r="J37" s="46"/>
      <c r="K37" s="46"/>
      <c r="L37" s="46"/>
      <c r="M37" s="46"/>
      <c r="N37" s="46"/>
      <c r="O37" s="46"/>
      <c r="P37" s="46"/>
      <c r="Q37" s="47"/>
    </row>
    <row r="38" spans="3:17" x14ac:dyDescent="0.3">
      <c r="D38" s="26"/>
      <c r="E38" s="31">
        <v>0.37</v>
      </c>
      <c r="F38" s="41"/>
      <c r="G38" s="26"/>
      <c r="H38" s="55"/>
      <c r="I38" s="44">
        <f t="shared" si="13"/>
        <v>3081.0613854595344</v>
      </c>
      <c r="J38" s="46"/>
      <c r="K38" s="46"/>
      <c r="L38" s="46"/>
      <c r="M38" s="46"/>
      <c r="N38" s="46"/>
      <c r="O38" s="46"/>
      <c r="P38" s="46"/>
      <c r="Q38" s="47"/>
    </row>
    <row r="39" spans="3:17" x14ac:dyDescent="0.3">
      <c r="D39" s="26"/>
      <c r="E39" s="31">
        <v>0.38</v>
      </c>
      <c r="F39" s="41"/>
      <c r="G39" s="26"/>
      <c r="H39" s="55"/>
      <c r="I39" s="44">
        <f t="shared" si="13"/>
        <v>2567.551154549612</v>
      </c>
      <c r="J39" s="46"/>
      <c r="K39" s="46"/>
      <c r="L39" s="46"/>
      <c r="M39" s="46"/>
      <c r="N39" s="46"/>
      <c r="O39" s="46"/>
      <c r="P39" s="46"/>
      <c r="Q39" s="47"/>
    </row>
    <row r="40" spans="3:17" x14ac:dyDescent="0.3">
      <c r="E40" s="31">
        <v>0.39</v>
      </c>
      <c r="F40" s="41"/>
      <c r="H40" s="55"/>
      <c r="I40" s="44">
        <f t="shared" si="13"/>
        <v>2139.6259621246768</v>
      </c>
      <c r="J40" s="46"/>
      <c r="K40" s="46"/>
      <c r="L40" s="46"/>
      <c r="M40" s="46"/>
      <c r="N40" s="46"/>
      <c r="O40" s="46"/>
      <c r="P40" s="46"/>
      <c r="Q40" s="47"/>
    </row>
    <row r="41" spans="3:17" x14ac:dyDescent="0.3">
      <c r="C41" s="4"/>
      <c r="E41" s="31">
        <v>0.4</v>
      </c>
      <c r="F41" s="41"/>
      <c r="H41" s="55"/>
      <c r="I41" s="44">
        <f t="shared" si="13"/>
        <v>1783.0216351038973</v>
      </c>
      <c r="J41" s="46"/>
      <c r="K41" s="46"/>
      <c r="L41" s="46"/>
      <c r="M41" s="46"/>
      <c r="N41" s="46"/>
      <c r="O41" s="46"/>
      <c r="P41" s="46"/>
      <c r="Q41" s="47"/>
    </row>
    <row r="42" spans="3:17" x14ac:dyDescent="0.3">
      <c r="E42" s="31">
        <v>0.41</v>
      </c>
      <c r="F42" s="41"/>
      <c r="H42" s="55"/>
      <c r="I42" s="44">
        <f t="shared" si="13"/>
        <v>1485.8513625865812</v>
      </c>
      <c r="J42" s="46"/>
      <c r="K42" s="46"/>
      <c r="L42" s="46"/>
      <c r="M42" s="46"/>
      <c r="N42" s="46"/>
      <c r="O42" s="46"/>
      <c r="P42" s="46"/>
      <c r="Q42" s="47"/>
    </row>
    <row r="43" spans="3:17" x14ac:dyDescent="0.3">
      <c r="E43" s="31">
        <v>0.42</v>
      </c>
      <c r="F43" s="41"/>
      <c r="H43" s="55"/>
      <c r="I43" s="44">
        <f t="shared" si="13"/>
        <v>1238.2094688221512</v>
      </c>
      <c r="J43" s="46"/>
      <c r="K43" s="46"/>
      <c r="L43" s="46"/>
      <c r="M43" s="46"/>
      <c r="N43" s="46"/>
      <c r="O43" s="46"/>
      <c r="P43" s="46"/>
      <c r="Q43" s="47"/>
    </row>
    <row r="44" spans="3:17" x14ac:dyDescent="0.3">
      <c r="E44" s="31">
        <v>0.43</v>
      </c>
      <c r="F44" s="41"/>
      <c r="H44" s="55"/>
      <c r="I44" s="44">
        <f t="shared" si="13"/>
        <v>1031.8412240184593</v>
      </c>
      <c r="J44" s="46"/>
      <c r="K44" s="46"/>
      <c r="L44" s="46"/>
      <c r="M44" s="46"/>
      <c r="N44" s="46"/>
      <c r="O44" s="46"/>
      <c r="P44" s="46"/>
      <c r="Q44" s="47"/>
    </row>
    <row r="45" spans="3:17" x14ac:dyDescent="0.3">
      <c r="E45" s="31">
        <v>0.44</v>
      </c>
      <c r="F45" s="41"/>
      <c r="H45" s="55"/>
      <c r="I45" s="44">
        <f t="shared" si="13"/>
        <v>859.86768668204945</v>
      </c>
      <c r="J45" s="46"/>
      <c r="K45" s="46"/>
      <c r="L45" s="46"/>
      <c r="M45" s="46"/>
      <c r="N45" s="46"/>
      <c r="O45" s="46"/>
      <c r="P45" s="46"/>
      <c r="Q45" s="47"/>
    </row>
    <row r="46" spans="3:17" x14ac:dyDescent="0.3">
      <c r="E46" s="31">
        <v>0.45</v>
      </c>
      <c r="F46" s="41"/>
      <c r="H46" s="55"/>
      <c r="I46" s="44">
        <f t="shared" si="13"/>
        <v>716.55640556837454</v>
      </c>
      <c r="J46" s="46"/>
      <c r="K46" s="46"/>
      <c r="L46" s="46"/>
      <c r="M46" s="46"/>
      <c r="N46" s="46"/>
      <c r="O46" s="46"/>
      <c r="P46" s="46"/>
      <c r="Q46" s="47"/>
    </row>
    <row r="47" spans="3:17" x14ac:dyDescent="0.3">
      <c r="E47" s="31">
        <v>0.46</v>
      </c>
      <c r="F47" s="41"/>
      <c r="H47" s="55"/>
      <c r="I47" s="44">
        <f t="shared" si="13"/>
        <v>597.13033797364551</v>
      </c>
      <c r="J47" s="46"/>
      <c r="K47" s="46"/>
      <c r="L47" s="46"/>
      <c r="M47" s="46"/>
      <c r="N47" s="46"/>
      <c r="O47" s="46"/>
      <c r="P47" s="46"/>
      <c r="Q47" s="47"/>
    </row>
    <row r="48" spans="3:17" x14ac:dyDescent="0.3">
      <c r="E48" s="31">
        <v>0.47</v>
      </c>
      <c r="F48" s="41"/>
      <c r="H48" s="55"/>
      <c r="I48" s="44">
        <f t="shared" si="13"/>
        <v>497.60861497803796</v>
      </c>
      <c r="J48" s="46"/>
      <c r="K48" s="46"/>
      <c r="L48" s="46"/>
      <c r="M48" s="46"/>
      <c r="N48" s="46"/>
      <c r="O48" s="46"/>
      <c r="P48" s="46"/>
      <c r="Q48" s="47"/>
    </row>
    <row r="49" spans="5:17" x14ac:dyDescent="0.3">
      <c r="E49" s="31">
        <v>0.48</v>
      </c>
      <c r="F49" s="41"/>
      <c r="H49" s="55"/>
      <c r="I49" s="44">
        <f t="shared" si="13"/>
        <v>414.67384581503165</v>
      </c>
      <c r="J49" s="46"/>
      <c r="K49" s="46"/>
      <c r="L49" s="46"/>
      <c r="M49" s="46"/>
      <c r="N49" s="46"/>
      <c r="O49" s="46"/>
      <c r="P49" s="46"/>
      <c r="Q49" s="47"/>
    </row>
    <row r="50" spans="5:17" x14ac:dyDescent="0.3">
      <c r="E50" s="31">
        <v>0.49</v>
      </c>
      <c r="F50" s="41"/>
      <c r="H50" s="55"/>
      <c r="I50" s="44">
        <f t="shared" si="13"/>
        <v>345.56153817919306</v>
      </c>
      <c r="J50" s="46"/>
      <c r="K50" s="46"/>
      <c r="L50" s="46"/>
      <c r="M50" s="46"/>
      <c r="N50" s="46"/>
      <c r="O50" s="46"/>
      <c r="P50" s="46"/>
      <c r="Q50" s="47"/>
    </row>
    <row r="51" spans="5:17" x14ac:dyDescent="0.3">
      <c r="E51" s="31">
        <v>0.5</v>
      </c>
      <c r="F51" s="41"/>
      <c r="H51" s="56"/>
      <c r="I51" s="45">
        <f t="shared" si="13"/>
        <v>287.96794848266092</v>
      </c>
      <c r="J51" s="48"/>
      <c r="K51" s="48"/>
      <c r="L51" s="48"/>
      <c r="M51" s="48"/>
      <c r="N51" s="48"/>
      <c r="O51" s="48"/>
      <c r="P51" s="48"/>
      <c r="Q51" s="49"/>
    </row>
    <row r="52" spans="5:17" x14ac:dyDescent="0.3">
      <c r="E52" s="31">
        <v>0.51</v>
      </c>
      <c r="F52" s="41"/>
    </row>
    <row r="53" spans="5:17" x14ac:dyDescent="0.3">
      <c r="E53" s="31">
        <v>0.52</v>
      </c>
      <c r="F53" s="41"/>
    </row>
    <row r="54" spans="5:17" x14ac:dyDescent="0.3">
      <c r="E54" s="31">
        <v>0.53</v>
      </c>
      <c r="F54" s="41"/>
    </row>
    <row r="55" spans="5:17" x14ac:dyDescent="0.3">
      <c r="E55" s="31">
        <v>0.54</v>
      </c>
      <c r="F55" s="41"/>
    </row>
    <row r="56" spans="5:17" x14ac:dyDescent="0.3">
      <c r="E56" s="31">
        <v>0.55000000000000004</v>
      </c>
      <c r="F56" s="41"/>
    </row>
    <row r="57" spans="5:17" x14ac:dyDescent="0.3">
      <c r="E57" s="31">
        <v>0.56000000000000005</v>
      </c>
      <c r="F57" s="41"/>
    </row>
    <row r="58" spans="5:17" x14ac:dyDescent="0.3">
      <c r="E58" s="31">
        <v>0.56999999999999995</v>
      </c>
      <c r="F58" s="41"/>
    </row>
    <row r="59" spans="5:17" x14ac:dyDescent="0.3">
      <c r="E59" s="31">
        <v>0.57999999999999996</v>
      </c>
      <c r="F59" s="41"/>
    </row>
    <row r="60" spans="5:17" x14ac:dyDescent="0.3">
      <c r="E60" s="31">
        <v>0.59</v>
      </c>
      <c r="F60" s="41"/>
    </row>
    <row r="61" spans="5:17" x14ac:dyDescent="0.3">
      <c r="E61" s="31">
        <v>0.6</v>
      </c>
      <c r="F61" s="41"/>
    </row>
    <row r="62" spans="5:17" x14ac:dyDescent="0.3">
      <c r="E62" s="31">
        <v>0.61</v>
      </c>
      <c r="F62" s="41"/>
    </row>
    <row r="63" spans="5:17" x14ac:dyDescent="0.3">
      <c r="E63" s="31">
        <v>0.62</v>
      </c>
      <c r="F63" s="41"/>
    </row>
    <row r="64" spans="5:17" x14ac:dyDescent="0.3">
      <c r="E64" s="31">
        <v>0.63</v>
      </c>
      <c r="F64" s="41"/>
    </row>
    <row r="65" spans="5:6" x14ac:dyDescent="0.3">
      <c r="E65" s="31">
        <v>0.64</v>
      </c>
      <c r="F65" s="41"/>
    </row>
    <row r="66" spans="5:6" x14ac:dyDescent="0.3">
      <c r="E66" s="31">
        <v>0.65</v>
      </c>
      <c r="F66" s="41"/>
    </row>
    <row r="67" spans="5:6" x14ac:dyDescent="0.3">
      <c r="E67" s="31">
        <v>0.66</v>
      </c>
      <c r="F67" s="41"/>
    </row>
    <row r="68" spans="5:6" x14ac:dyDescent="0.3">
      <c r="E68" s="31">
        <v>0.67</v>
      </c>
      <c r="F68" s="41"/>
    </row>
    <row r="69" spans="5:6" x14ac:dyDescent="0.3">
      <c r="E69" s="31">
        <v>0.68</v>
      </c>
      <c r="F69" s="41"/>
    </row>
    <row r="70" spans="5:6" x14ac:dyDescent="0.3">
      <c r="E70" s="31">
        <v>0.69</v>
      </c>
      <c r="F70" s="41"/>
    </row>
    <row r="71" spans="5:6" x14ac:dyDescent="0.3">
      <c r="E71" s="31">
        <v>0.7</v>
      </c>
      <c r="F71" s="41"/>
    </row>
    <row r="72" spans="5:6" x14ac:dyDescent="0.3">
      <c r="E72" s="31">
        <v>0.71</v>
      </c>
      <c r="F72" s="41"/>
    </row>
    <row r="73" spans="5:6" x14ac:dyDescent="0.3">
      <c r="E73" s="31">
        <v>0.72</v>
      </c>
      <c r="F73" s="41"/>
    </row>
    <row r="74" spans="5:6" x14ac:dyDescent="0.3">
      <c r="E74" s="31">
        <v>0.73</v>
      </c>
      <c r="F74" s="41"/>
    </row>
    <row r="75" spans="5:6" x14ac:dyDescent="0.3">
      <c r="E75" s="31">
        <v>0.74</v>
      </c>
      <c r="F75" s="41"/>
    </row>
    <row r="76" spans="5:6" x14ac:dyDescent="0.3">
      <c r="E76" s="31">
        <v>0.75</v>
      </c>
      <c r="F76" s="41"/>
    </row>
    <row r="77" spans="5:6" x14ac:dyDescent="0.3">
      <c r="E77" s="31">
        <v>0.76</v>
      </c>
      <c r="F77" s="41"/>
    </row>
    <row r="78" spans="5:6" x14ac:dyDescent="0.3">
      <c r="E78" s="31">
        <v>0.77</v>
      </c>
      <c r="F78" s="41"/>
    </row>
    <row r="79" spans="5:6" x14ac:dyDescent="0.3">
      <c r="E79" s="31">
        <v>0.78</v>
      </c>
      <c r="F79" s="41"/>
    </row>
    <row r="80" spans="5:6" x14ac:dyDescent="0.3">
      <c r="E80" s="31">
        <v>0.79</v>
      </c>
      <c r="F80" s="41"/>
    </row>
    <row r="81" spans="5:6" x14ac:dyDescent="0.3">
      <c r="E81" s="31">
        <v>0.8</v>
      </c>
      <c r="F81" s="41"/>
    </row>
    <row r="82" spans="5:6" x14ac:dyDescent="0.3">
      <c r="E82" s="31">
        <v>0.81</v>
      </c>
      <c r="F82" s="41"/>
    </row>
    <row r="83" spans="5:6" x14ac:dyDescent="0.3">
      <c r="E83" s="31">
        <v>0.82</v>
      </c>
      <c r="F83" s="41"/>
    </row>
    <row r="84" spans="5:6" x14ac:dyDescent="0.3">
      <c r="E84" s="31">
        <v>0.83</v>
      </c>
      <c r="F84" s="41"/>
    </row>
    <row r="85" spans="5:6" x14ac:dyDescent="0.3">
      <c r="E85" s="31">
        <v>0.84</v>
      </c>
      <c r="F85" s="41"/>
    </row>
    <row r="86" spans="5:6" x14ac:dyDescent="0.3">
      <c r="E86" s="31">
        <v>0.85</v>
      </c>
      <c r="F86" s="41"/>
    </row>
    <row r="87" spans="5:6" x14ac:dyDescent="0.3">
      <c r="E87" s="31">
        <v>0.86</v>
      </c>
      <c r="F87" s="41"/>
    </row>
    <row r="88" spans="5:6" x14ac:dyDescent="0.3">
      <c r="E88" s="31">
        <v>0.87</v>
      </c>
      <c r="F88" s="41"/>
    </row>
    <row r="89" spans="5:6" x14ac:dyDescent="0.3">
      <c r="E89" s="31">
        <v>0.880000000000001</v>
      </c>
      <c r="F89" s="41"/>
    </row>
    <row r="90" spans="5:6" x14ac:dyDescent="0.3">
      <c r="E90" s="31">
        <v>0.89000000000000101</v>
      </c>
      <c r="F90" s="41"/>
    </row>
    <row r="91" spans="5:6" x14ac:dyDescent="0.3">
      <c r="E91" s="31">
        <v>0.90000000000000102</v>
      </c>
      <c r="F91" s="41"/>
    </row>
    <row r="92" spans="5:6" x14ac:dyDescent="0.3">
      <c r="E92" s="31">
        <v>0.91000000000000103</v>
      </c>
      <c r="F92" s="41"/>
    </row>
    <row r="93" spans="5:6" x14ac:dyDescent="0.3">
      <c r="E93" s="31">
        <v>0.92000000000000104</v>
      </c>
      <c r="F93" s="41"/>
    </row>
    <row r="94" spans="5:6" x14ac:dyDescent="0.3">
      <c r="E94" s="31">
        <v>0.93000000000000105</v>
      </c>
      <c r="F94" s="41"/>
    </row>
    <row r="95" spans="5:6" x14ac:dyDescent="0.3">
      <c r="E95" s="31">
        <v>0.94000000000000095</v>
      </c>
      <c r="F95" s="41"/>
    </row>
    <row r="96" spans="5:6" x14ac:dyDescent="0.3">
      <c r="E96" s="31">
        <v>0.95000000000000095</v>
      </c>
      <c r="F96" s="41"/>
    </row>
    <row r="97" spans="5:6" x14ac:dyDescent="0.3">
      <c r="E97" s="31">
        <v>0.96000000000000096</v>
      </c>
      <c r="F97" s="41"/>
    </row>
    <row r="98" spans="5:6" x14ac:dyDescent="0.3">
      <c r="E98" s="31">
        <v>0.97000000000000097</v>
      </c>
      <c r="F98" s="41"/>
    </row>
    <row r="99" spans="5:6" x14ac:dyDescent="0.3">
      <c r="E99" s="31">
        <v>0.98000000000000098</v>
      </c>
      <c r="F99" s="41"/>
    </row>
    <row r="100" spans="5:6" x14ac:dyDescent="0.3">
      <c r="E100" s="31">
        <v>0.99000000000000099</v>
      </c>
      <c r="F100" s="41"/>
    </row>
    <row r="101" spans="5:6" x14ac:dyDescent="0.3">
      <c r="E101" s="33">
        <v>1</v>
      </c>
      <c r="F101" s="34"/>
    </row>
  </sheetData>
  <mergeCells count="4">
    <mergeCell ref="H24:H28"/>
    <mergeCell ref="J22:M22"/>
    <mergeCell ref="H32:H51"/>
    <mergeCell ref="J30:Q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AIMS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AIMS</dc:subject>
  <dc:creator>Dejan Lavbič</dc:creator>
  <cp:keywords/>
  <dc:description/>
  <cp:lastModifiedBy>Gec, Sandi</cp:lastModifiedBy>
  <dcterms:created xsi:type="dcterms:W3CDTF">2015-01-11T16:06:24Z</dcterms:created>
  <dcterms:modified xsi:type="dcterms:W3CDTF">2025-03-02T20:45:16Z</dcterms:modified>
  <cp:category/>
</cp:coreProperties>
</file>